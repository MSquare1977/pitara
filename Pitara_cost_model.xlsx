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Model" sheetId="3" state="visible" r:id="rId5"/>
    <sheet name="Backends" sheetId="4" state="visible" r:id="rId6"/>
    <sheet name="Price Gri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<sst xmlns="http://schemas.openxmlformats.org/spreadsheetml/2006/main" count="177" uniqueCount="157">
  <si>
    <t xml:space="preserve">Pitara — cost &amp; profit model</t>
  </si>
  <si>
    <t xml:space="preserve">Play with the numbers: change the BLUE cells on the Inputs sheet and every other sheet recalculates.</t>
  </si>
  <si>
    <t xml:space="preserve">HOW TO USE</t>
  </si>
  <si>
    <t xml:space="preserve">1. Inputs: edit blue cells. Yellow-filled blue cells are the main levers (users, GB per user, prices, annual share).</t>
  </si>
  <si>
    <t xml:space="preserve">2. Model: monthly costs and profit for the three scenarios, using the storage backend chosen on Inputs (GCS / R2 / B2).</t>
  </si>
  <si>
    <t xml:space="preserve">3. Backends: the same three scenarios priced on each storage provider side by side, whatever Inputs says.</t>
  </si>
  <si>
    <t xml:space="preserve">4. Price Grid: profit at different monthly prices (edit the blue prices in column A).</t>
  </si>
  <si>
    <t xml:space="preserve">COLOUR CODE</t>
  </si>
  <si>
    <t xml:space="preserve">Blue text = typed-in input · Black = formula · Green = pulled from another sheet · Yellow fill = key lever.</t>
  </si>
  <si>
    <t xml:space="preserve">TWO PROFIT LINES — read both</t>
  </si>
  <si>
    <t xml:space="preserve">'You do the work': you do maintenance and support yourself, so only cash costs count (infrastructure, card fees, tooling, accounting/legal).</t>
  </si>
  <si>
    <t xml:space="preserve">'You pay for them': also counts contractor maintenance and paid support at market rates. This is the honest long-run view.</t>
  </si>
  <si>
    <t xml:space="preserve">WHAT IS VERIFIED (Oct 2026) vs ASSUMED</t>
  </si>
  <si>
    <t xml:space="preserve">Verified from public pricing pages: Google Cloud Storage price and tiered download charges, Cloudflare R2, Backblaze B2, Stripe UK card fees.</t>
  </si>
  <si>
    <t xml:space="preserve">Stripe Billing fee: sources disagree (0.25% vs 0.7%). The model uses 0.7%, the higher figure — change it on Inputs if you learn otherwise.</t>
  </si>
  <si>
    <t xml:space="preserve">My assumptions (not facts): 20 GB per user, 1 GB downloads per user per month, other infrastructure, tooling, accounting/legal, maintenance hours, hourly rates, support rate, 70% annual mix.</t>
  </si>
  <si>
    <t xml:space="preserve">NOT INCLUDED</t>
  </si>
  <si>
    <t xml:space="preserve">VAT / GST: default 0%. If prices you advertise include VAT/GST, enter the rate on Inputs so revenue is shown net of it. Registration rules in the UK, EU and India need a tax adviser.</t>
  </si>
  <si>
    <t xml:space="preserve">One-off costs: security audit, legal documents, Apple Developer fee ($99/yr, once iOS exists), card dispute fees, refunds.</t>
  </si>
  <si>
    <t xml:space="preserve">Founder salary, marketing and customer acquisition. Every user is assumed to be a PAYING cloud user; free local-only users cost almost nothing.</t>
  </si>
  <si>
    <t xml:space="preserve">Caveat: cost per user falls with scale only because fixed items are assumed to grow slowly — test your own numbers.</t>
  </si>
  <si>
    <t xml:space="preserve">Inputs — change the blue cells (yellow = main levers)</t>
  </si>
  <si>
    <t xml:space="preserve">Scenarios are columns B–D; everything else is a single value in column B.</t>
  </si>
  <si>
    <t xml:space="preserve">Scenario</t>
  </si>
  <si>
    <t xml:space="preserve">Small</t>
  </si>
  <si>
    <t xml:space="preserve">Medium</t>
  </si>
  <si>
    <t xml:space="preserve">Large</t>
  </si>
  <si>
    <t xml:space="preserve">Notes / source</t>
  </si>
  <si>
    <t xml:space="preserve">Paying cloud users</t>
  </si>
  <si>
    <t xml:space="preserve">Your scenarios (100 / 500 / 1,000).</t>
  </si>
  <si>
    <t xml:space="preserve">Average GB stored per user</t>
  </si>
  <si>
    <t xml:space="preserve">Your assumption (20 GB). A scans-and-PDFs vault is usually far smaller — try 3–5 GB.</t>
  </si>
  <si>
    <t xml:space="preserve">Downloads per user per month (GB)</t>
  </si>
  <si>
    <t xml:space="preserve">Assumption: ~5% of stored data opened per month. Design rule: download on demand, never the whole vault.</t>
  </si>
  <si>
    <t xml:space="preserve">Other infrastructure $/month</t>
  </si>
  <si>
    <t xml:space="preserve">Assumption: Firestore, Cloud Functions, Hosting, Auth at these volumes.</t>
  </si>
  <si>
    <t xml:space="preserve">Tooling $/month</t>
  </si>
  <si>
    <t xml:space="preserve">Assumption: transactional email, error monitoring, helpdesk, domain.</t>
  </si>
  <si>
    <t xml:space="preserve">Accounting, legal upkeep, insurance $/month</t>
  </si>
  <si>
    <t xml:space="preserve">Rough assumption — get real quotes.</t>
  </si>
  <si>
    <t xml:space="preserve">Maintenance hours per month</t>
  </si>
  <si>
    <t xml:space="preserve">Assumption: OS/dependency upkeep, bug fixes (this project has needed a lot).</t>
  </si>
  <si>
    <t xml:space="preserve">Rates</t>
  </si>
  <si>
    <t xml:space="preserve">Maintenance rate $/hour</t>
  </si>
  <si>
    <t xml:space="preserve">Assumption: contractor rate.</t>
  </si>
  <si>
    <t xml:space="preserve">Share of users contacting support per month</t>
  </si>
  <si>
    <t xml:space="preserve">Assumption.</t>
  </si>
  <si>
    <t xml:space="preserve">Minutes per support ticket</t>
  </si>
  <si>
    <t xml:space="preserve">Support rate $/hour</t>
  </si>
  <si>
    <t xml:space="preserve">Assumption: part-time support.</t>
  </si>
  <si>
    <t xml:space="preserve">Pricing</t>
  </si>
  <si>
    <t xml:space="preserve">Monthly plan price ($)</t>
  </si>
  <si>
    <t xml:space="preserve">Recommended starting point. Previous doc said $3.99.</t>
  </si>
  <si>
    <t xml:space="preserve">Annual plan price ($)</t>
  </si>
  <si>
    <t xml:space="preserve">Recommended starting point. Previous doc said $39.99.</t>
  </si>
  <si>
    <t xml:space="preserve">Share of paying users on the annual plan</t>
  </si>
  <si>
    <t xml:space="preserve">Assumption. Annual billing cuts card fees from ~8–10% to under 4% of the charge.</t>
  </si>
  <si>
    <t xml:space="preserve">VAT / GST included in advertised price</t>
  </si>
  <si>
    <t xml:space="preserve">Default 0%. If your prices include e.g. 20% VAT, enter 20% — revenue is then shown net of it.</t>
  </si>
  <si>
    <t xml:space="preserve">Card payment fees (Stripe, UK account)</t>
  </si>
  <si>
    <t xml:space="preserve">Card fee % (blended)</t>
  </si>
  <si>
    <t xml:space="preserve">UK cards 1.5%, EEA 2.5%, international 3.25% (+20p each). 2.5% is a blended guess for a UK/India mix.</t>
  </si>
  <si>
    <t xml:space="preserve">Stripe Billing %</t>
  </si>
  <si>
    <t xml:space="preserve">Sources disagree: 0.7% vs 0.25%. Higher figure used.</t>
  </si>
  <si>
    <t xml:space="preserve">Fixed fee per charge ($)</t>
  </si>
  <si>
    <t xml:space="preserve">20p converted to dollars.</t>
  </si>
  <si>
    <t xml:space="preserve">Storage backend</t>
  </si>
  <si>
    <t xml:space="preserve">Storage backend used on the Model sheet</t>
  </si>
  <si>
    <t xml:space="preserve">GCS</t>
  </si>
  <si>
    <t xml:space="preserve">Pick GCS (Firebase / Google Cloud Storage), R2 (Cloudflare) or B2 (Backblaze). Drop-down.</t>
  </si>
  <si>
    <t xml:space="preserve">Google Cloud Storage $/GB-month</t>
  </si>
  <si>
    <t xml:space="preserve">EU region standard storage (US regions ~$0.020).</t>
  </si>
  <si>
    <t xml:space="preserve">GCS downloads $/GB — first tier</t>
  </si>
  <si>
    <t xml:space="preserve">Internet egress, first 1,000 GB / month.</t>
  </si>
  <si>
    <t xml:space="preserve">GCS downloads $/GB — second tier</t>
  </si>
  <si>
    <t xml:space="preserve">Next 9,000 GB / month.</t>
  </si>
  <si>
    <t xml:space="preserve">GCS downloads $/GB — third tier</t>
  </si>
  <si>
    <t xml:space="preserve">Beyond 10,000 GB / month.</t>
  </si>
  <si>
    <t xml:space="preserve">GCS first tier size (GB)</t>
  </si>
  <si>
    <t xml:space="preserve">GCS second tier size (GB)</t>
  </si>
  <si>
    <t xml:space="preserve">Cloudflare R2 storage $/GB-month</t>
  </si>
  <si>
    <t xml:space="preserve">Downloads are free.</t>
  </si>
  <si>
    <t xml:space="preserve">R2 free storage (GB)</t>
  </si>
  <si>
    <t xml:space="preserve">Monthly free allowance.</t>
  </si>
  <si>
    <t xml:space="preserve">Backblaze B2 storage $/GB-month</t>
  </si>
  <si>
    <t xml:space="preserve">$6.95 per TB.</t>
  </si>
  <si>
    <t xml:space="preserve">B2 free downloads, multiple of stored data</t>
  </si>
  <si>
    <t xml:space="preserve">Free up to 3x average stored data.</t>
  </si>
  <si>
    <t xml:space="preserve">B2 download overage $/GB</t>
  </si>
  <si>
    <t xml:space="preserve">Beyond the free multiple.</t>
  </si>
  <si>
    <t xml:space="preserve">Model — monthly figures (USD)</t>
  </si>
  <si>
    <t xml:space="preserve">Metric</t>
  </si>
  <si>
    <t xml:space="preserve">How it's calculated</t>
  </si>
  <si>
    <t xml:space="preserve">Volume</t>
  </si>
  <si>
    <t xml:space="preserve">Total stored (GB)</t>
  </si>
  <si>
    <t xml:space="preserve">users × GB per user</t>
  </si>
  <si>
    <t xml:space="preserve">Total downloads per month (GB)</t>
  </si>
  <si>
    <t xml:space="preserve">users × download GB per user</t>
  </si>
  <si>
    <t xml:space="preserve">Infrastructure</t>
  </si>
  <si>
    <t xml:space="preserve">Storage</t>
  </si>
  <si>
    <t xml:space="preserve">Per-GB price of the chosen backend × stored GB</t>
  </si>
  <si>
    <t xml:space="preserve">Downloads (egress)</t>
  </si>
  <si>
    <t xml:space="preserve">GCS: tiered; R2: free; B2: free up to 3x stored</t>
  </si>
  <si>
    <t xml:space="preserve">Other infrastructure (Firestore, Functions, Hosting)</t>
  </si>
  <si>
    <t xml:space="preserve">Infrastructure total</t>
  </si>
  <si>
    <t xml:space="preserve">Infrastructure per user per month</t>
  </si>
  <si>
    <t xml:space="preserve">Revenue and card fees</t>
  </si>
  <si>
    <t xml:space="preserve">Gross revenue per user per month (blended)</t>
  </si>
  <si>
    <t xml:space="preserve">annual share × annual/12 + monthly share × monthly price</t>
  </si>
  <si>
    <t xml:space="preserve">Card fee per user per month (blended)</t>
  </si>
  <si>
    <t xml:space="preserve">(price × (card % + Billing %) + fixed fee), per charge, spread over the billing period</t>
  </si>
  <si>
    <t xml:space="preserve">Gross revenue (what customers pay)</t>
  </si>
  <si>
    <t xml:space="preserve">Less: VAT / GST portion</t>
  </si>
  <si>
    <t xml:space="preserve">Zero unless you enter a tax rate on Inputs</t>
  </si>
  <si>
    <t xml:space="preserve">Net revenue</t>
  </si>
  <si>
    <t xml:space="preserve">Card fees</t>
  </si>
  <si>
    <t xml:space="preserve">Other cash costs</t>
  </si>
  <si>
    <t xml:space="preserve">Tooling (email, monitoring, helpdesk, domain)</t>
  </si>
  <si>
    <t xml:space="preserve">Accounting, legal upkeep, insurance</t>
  </si>
  <si>
    <t xml:space="preserve">Cash cost — no salary for you</t>
  </si>
  <si>
    <t xml:space="preserve">infrastructure + card fees + tooling + accounting/legal</t>
  </si>
  <si>
    <t xml:space="preserve">People</t>
  </si>
  <si>
    <t xml:space="preserve">Maintenance (contractor)</t>
  </si>
  <si>
    <t xml:space="preserve">hours × hourly rate</t>
  </si>
  <si>
    <t xml:space="preserve">Customer support</t>
  </si>
  <si>
    <t xml:space="preserve">users × share contacting × minutes ÷ 60 × rate</t>
  </si>
  <si>
    <t xml:space="preserve">Full cost</t>
  </si>
  <si>
    <t xml:space="preserve">Result</t>
  </si>
  <si>
    <t xml:space="preserve">PROFIT if you do maintenance &amp; support yourself</t>
  </si>
  <si>
    <t xml:space="preserve">PROFIT if you pay for them</t>
  </si>
  <si>
    <t xml:space="preserve">Full cost per user per month</t>
  </si>
  <si>
    <t xml:space="preserve">Net revenue per user per month</t>
  </si>
  <si>
    <t xml:space="preserve">Margin (paying for staff)</t>
  </si>
  <si>
    <t xml:space="preserve">Break-even monthly price (annual price keeps the same ratio to monthly)</t>
  </si>
  <si>
    <t xml:space="preserve">Helper: gross revenue per $1 of monthly price</t>
  </si>
  <si>
    <t xml:space="preserve">blended plan mix</t>
  </si>
  <si>
    <t xml:space="preserve">Helper: fixed card fee per user per month</t>
  </si>
  <si>
    <t xml:space="preserve">Break-even monthly price — you do the work</t>
  </si>
  <si>
    <t xml:space="preserve">lowest monthly price at which profit = 0</t>
  </si>
  <si>
    <t xml:space="preserve">Break-even monthly price — paying staff</t>
  </si>
  <si>
    <t xml:space="preserve">compare with the price you actually charge</t>
  </si>
  <si>
    <t xml:space="preserve">Backends — same scenarios on each storage provider (USD per month)</t>
  </si>
  <si>
    <t xml:space="preserve">Ignores the backend picked on Inputs. Everything else comes from the Model sheet.</t>
  </si>
  <si>
    <t xml:space="preserve">Google Cloud Storage (Firebase)</t>
  </si>
  <si>
    <t xml:space="preserve">Downloads</t>
  </si>
  <si>
    <t xml:space="preserve">Other infrastructure</t>
  </si>
  <si>
    <t xml:space="preserve">Profit — you do the work</t>
  </si>
  <si>
    <t xml:space="preserve">Profit — you pay for maintenance &amp; support</t>
  </si>
  <si>
    <t xml:space="preserve">Cloudflare R2</t>
  </si>
  <si>
    <t xml:space="preserve">Backblaze B2</t>
  </si>
  <si>
    <t xml:space="preserve">Price Grid — monthly profit at different prices (USD)</t>
  </si>
  <si>
    <t xml:space="preserve">Edit the blue monthly prices in column A. Annual price = monthly × the ratio of your annual/monthly prices on Inputs. Uses the storage backend chosen on Inputs.</t>
  </si>
  <si>
    <t xml:space="preserve">You do maintenance &amp; support</t>
  </si>
  <si>
    <t xml:space="preserve">You pay for maintenance &amp; support</t>
  </si>
  <si>
    <t xml:space="preserve">Monthly price</t>
  </si>
  <si>
    <t xml:space="preserve">Annual price</t>
  </si>
  <si>
    <t xml:space="preserve">Check: the row matching your current monthly price should equal the Model sheet's profit lines.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</si>
</sst>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"/>
    <numFmt numFmtId="167" formatCode="\$#,##0;&quot;($&quot;#,##0\);\-"/>
    <numFmt numFmtId="168" formatCode="\$#,##0.00;&quot;($&quot;#,##0.00\);\-"/>
    <numFmt numFmtId="169" formatCode="0.0%;\(0.0%\);\-"/>
    <numFmt numFmtId="170" formatCode="0.00%"/>
    <numFmt numFmtId="171" formatCode="\$0.00000"/>
    <numFmt numFmtId="172" formatCode="\$#,##0;[RED]&quot;($&quot;#,##0\);\-"/>
    <numFmt numFmtId="173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2CF"/>
        <bgColor rgb="FFCCFFCC"/>
      </patternFill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E2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23.8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23.8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23.8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23.8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4"/>
    <col collapsed="false" customWidth="true" hidden="false" outlineLevel="0" max="5" min="5" style="0" width="78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6" t="s">
        <v>22</v>
      </c>
    </row>
    <row r="4" customFormat="false" ht="15" hidden="false" customHeight="false" outlineLevel="0" collapsed="false">
      <c r="A4" s="7" t="s">
        <v>23</v>
      </c>
      <c r="B4" s="8" t="s">
        <v>24</v>
      </c>
      <c r="C4" s="8" t="s">
        <v>25</v>
      </c>
      <c r="D4" s="8" t="s">
        <v>26</v>
      </c>
      <c r="E4" s="7" t="s">
        <v>27</v>
      </c>
    </row>
    <row r="5" customFormat="false" ht="15" hidden="false" customHeight="false" outlineLevel="0" collapsed="false">
      <c r="A5" s="9" t="s">
        <v>28</v>
      </c>
      <c r="B5" s="10" t="n">
        <v>100</v>
      </c>
      <c r="C5" s="10" t="n">
        <v>500</v>
      </c>
      <c r="D5" s="10" t="n">
        <v>1000</v>
      </c>
      <c r="E5" s="11" t="s">
        <v>29</v>
      </c>
    </row>
    <row r="6" customFormat="false" ht="15" hidden="false" customHeight="false" outlineLevel="0" collapsed="false">
      <c r="A6" s="9" t="s">
        <v>30</v>
      </c>
      <c r="B6" s="10" t="n">
        <v>20</v>
      </c>
      <c r="C6" s="10" t="n">
        <v>20</v>
      </c>
      <c r="D6" s="10" t="n">
        <v>20</v>
      </c>
      <c r="E6" s="11" t="s">
        <v>31</v>
      </c>
    </row>
    <row r="7" customFormat="false" ht="22.35" hidden="false" customHeight="false" outlineLevel="0" collapsed="false">
      <c r="A7" s="9" t="s">
        <v>32</v>
      </c>
      <c r="B7" s="12" t="n">
        <v>1</v>
      </c>
      <c r="C7" s="12" t="n">
        <v>1</v>
      </c>
      <c r="D7" s="12" t="n">
        <v>1</v>
      </c>
      <c r="E7" s="11" t="s">
        <v>33</v>
      </c>
    </row>
    <row r="8" customFormat="false" ht="15" hidden="false" customHeight="false" outlineLevel="0" collapsed="false">
      <c r="A8" s="9" t="s">
        <v>34</v>
      </c>
      <c r="B8" s="13" t="n">
        <v>4</v>
      </c>
      <c r="C8" s="13" t="n">
        <v>10</v>
      </c>
      <c r="D8" s="13" t="n">
        <v>30</v>
      </c>
      <c r="E8" s="11" t="s">
        <v>35</v>
      </c>
    </row>
    <row r="9" customFormat="false" ht="15" hidden="false" customHeight="false" outlineLevel="0" collapsed="false">
      <c r="A9" s="9" t="s">
        <v>36</v>
      </c>
      <c r="B9" s="13" t="n">
        <v>30</v>
      </c>
      <c r="C9" s="13" t="n">
        <v>60</v>
      </c>
      <c r="D9" s="13" t="n">
        <v>100</v>
      </c>
      <c r="E9" s="11" t="s">
        <v>37</v>
      </c>
    </row>
    <row r="10" customFormat="false" ht="15" hidden="false" customHeight="false" outlineLevel="0" collapsed="false">
      <c r="A10" s="9" t="s">
        <v>38</v>
      </c>
      <c r="B10" s="13" t="n">
        <v>150</v>
      </c>
      <c r="C10" s="13" t="n">
        <v>200</v>
      </c>
      <c r="D10" s="13" t="n">
        <v>300</v>
      </c>
      <c r="E10" s="11" t="s">
        <v>39</v>
      </c>
    </row>
    <row r="11" customFormat="false" ht="15" hidden="false" customHeight="false" outlineLevel="0" collapsed="false">
      <c r="A11" s="9" t="s">
        <v>40</v>
      </c>
      <c r="B11" s="14" t="n">
        <v>10</v>
      </c>
      <c r="C11" s="14" t="n">
        <v>20</v>
      </c>
      <c r="D11" s="14" t="n">
        <v>30</v>
      </c>
      <c r="E11" s="11" t="s">
        <v>41</v>
      </c>
    </row>
    <row r="13" customFormat="false" ht="15" hidden="false" customHeight="false" outlineLevel="0" collapsed="false">
      <c r="A13" s="15" t="s">
        <v>42</v>
      </c>
      <c r="B13" s="16"/>
      <c r="C13" s="16"/>
      <c r="D13" s="16"/>
      <c r="E13" s="16"/>
    </row>
    <row r="14" customFormat="false" ht="15" hidden="false" customHeight="false" outlineLevel="0" collapsed="false">
      <c r="A14" s="9" t="s">
        <v>43</v>
      </c>
      <c r="B14" s="17" t="n">
        <v>50</v>
      </c>
      <c r="E14" s="11" t="s">
        <v>44</v>
      </c>
    </row>
    <row r="15" customFormat="false" ht="15" hidden="false" customHeight="false" outlineLevel="0" collapsed="false">
      <c r="A15" s="9" t="s">
        <v>45</v>
      </c>
      <c r="B15" s="18" t="n">
        <v>0.1</v>
      </c>
      <c r="E15" s="11" t="s">
        <v>46</v>
      </c>
    </row>
    <row r="16" customFormat="false" ht="15" hidden="false" customHeight="false" outlineLevel="0" collapsed="false">
      <c r="A16" s="9" t="s">
        <v>47</v>
      </c>
      <c r="B16" s="14" t="n">
        <v>20</v>
      </c>
      <c r="E16" s="11" t="s">
        <v>46</v>
      </c>
    </row>
    <row r="17" customFormat="false" ht="15" hidden="false" customHeight="false" outlineLevel="0" collapsed="false">
      <c r="A17" s="9" t="s">
        <v>48</v>
      </c>
      <c r="B17" s="17" t="n">
        <v>25</v>
      </c>
      <c r="E17" s="11" t="s">
        <v>49</v>
      </c>
    </row>
    <row r="19" customFormat="false" ht="15" hidden="false" customHeight="false" outlineLevel="0" collapsed="false">
      <c r="A19" s="15" t="s">
        <v>50</v>
      </c>
      <c r="B19" s="16"/>
      <c r="C19" s="16"/>
      <c r="D19" s="16"/>
      <c r="E19" s="16"/>
    </row>
    <row r="20" customFormat="false" ht="15" hidden="false" customHeight="false" outlineLevel="0" collapsed="false">
      <c r="A20" s="9" t="s">
        <v>51</v>
      </c>
      <c r="B20" s="19" t="n">
        <v>4.99</v>
      </c>
      <c r="E20" s="11" t="s">
        <v>52</v>
      </c>
    </row>
    <row r="21" customFormat="false" ht="15" hidden="false" customHeight="false" outlineLevel="0" collapsed="false">
      <c r="A21" s="9" t="s">
        <v>53</v>
      </c>
      <c r="B21" s="19" t="n">
        <v>49.99</v>
      </c>
      <c r="E21" s="11" t="s">
        <v>54</v>
      </c>
    </row>
    <row r="22" customFormat="false" ht="15" hidden="false" customHeight="false" outlineLevel="0" collapsed="false">
      <c r="A22" s="9" t="s">
        <v>55</v>
      </c>
      <c r="B22" s="20" t="n">
        <v>0.7</v>
      </c>
      <c r="E22" s="11" t="s">
        <v>56</v>
      </c>
    </row>
    <row r="23" customFormat="false" ht="15" hidden="false" customHeight="false" outlineLevel="0" collapsed="false">
      <c r="A23" s="9" t="s">
        <v>57</v>
      </c>
      <c r="B23" s="18" t="n">
        <v>0</v>
      </c>
      <c r="E23" s="11" t="s">
        <v>58</v>
      </c>
    </row>
    <row r="25" customFormat="false" ht="15" hidden="false" customHeight="false" outlineLevel="0" collapsed="false">
      <c r="A25" s="15" t="s">
        <v>59</v>
      </c>
      <c r="B25" s="16"/>
      <c r="C25" s="16"/>
      <c r="D25" s="16"/>
      <c r="E25" s="16"/>
    </row>
    <row r="26" customFormat="false" ht="22.35" hidden="false" customHeight="false" outlineLevel="0" collapsed="false">
      <c r="A26" s="9" t="s">
        <v>60</v>
      </c>
      <c r="B26" s="21" t="n">
        <v>0.025</v>
      </c>
      <c r="E26" s="11" t="s">
        <v>61</v>
      </c>
    </row>
    <row r="27" customFormat="false" ht="15" hidden="false" customHeight="false" outlineLevel="0" collapsed="false">
      <c r="A27" s="9" t="s">
        <v>62</v>
      </c>
      <c r="B27" s="21" t="n">
        <v>0.007</v>
      </c>
      <c r="E27" s="11" t="s">
        <v>63</v>
      </c>
    </row>
    <row r="28" customFormat="false" ht="15" hidden="false" customHeight="false" outlineLevel="0" collapsed="false">
      <c r="A28" s="9" t="s">
        <v>64</v>
      </c>
      <c r="B28" s="17" t="n">
        <v>0.26</v>
      </c>
      <c r="E28" s="11" t="s">
        <v>65</v>
      </c>
    </row>
    <row r="30" customFormat="false" ht="15" hidden="false" customHeight="false" outlineLevel="0" collapsed="false">
      <c r="A30" s="15" t="s">
        <v>66</v>
      </c>
      <c r="B30" s="16"/>
      <c r="C30" s="16"/>
      <c r="D30" s="16"/>
      <c r="E30" s="16"/>
    </row>
    <row r="31" customFormat="false" ht="15" hidden="false" customHeight="false" outlineLevel="0" collapsed="false">
      <c r="A31" s="9" t="s">
        <v>67</v>
      </c>
      <c r="B31" s="22" t="s">
        <v>68</v>
      </c>
      <c r="E31" s="11" t="s">
        <v>69</v>
      </c>
    </row>
    <row r="32" customFormat="false" ht="15" hidden="false" customHeight="false" outlineLevel="0" collapsed="false">
      <c r="A32" s="9" t="s">
        <v>70</v>
      </c>
      <c r="B32" s="23" t="n">
        <v>0.023</v>
      </c>
      <c r="E32" s="11" t="s">
        <v>71</v>
      </c>
    </row>
    <row r="33" customFormat="false" ht="15" hidden="false" customHeight="false" outlineLevel="0" collapsed="false">
      <c r="A33" s="9" t="s">
        <v>72</v>
      </c>
      <c r="B33" s="23" t="n">
        <v>0.12</v>
      </c>
      <c r="E33" s="11" t="s">
        <v>73</v>
      </c>
    </row>
    <row r="34" customFormat="false" ht="15" hidden="false" customHeight="false" outlineLevel="0" collapsed="false">
      <c r="A34" s="9" t="s">
        <v>74</v>
      </c>
      <c r="B34" s="23" t="n">
        <v>0.11</v>
      </c>
      <c r="E34" s="11" t="s">
        <v>75</v>
      </c>
    </row>
    <row r="35" customFormat="false" ht="15" hidden="false" customHeight="false" outlineLevel="0" collapsed="false">
      <c r="A35" s="9" t="s">
        <v>76</v>
      </c>
      <c r="B35" s="23" t="n">
        <v>0.08</v>
      </c>
      <c r="E35" s="11" t="s">
        <v>77</v>
      </c>
    </row>
    <row r="36" customFormat="false" ht="15" hidden="false" customHeight="false" outlineLevel="0" collapsed="false">
      <c r="A36" s="9" t="s">
        <v>78</v>
      </c>
      <c r="B36" s="14" t="n">
        <v>1000</v>
      </c>
      <c r="E36" s="11"/>
    </row>
    <row r="37" customFormat="false" ht="15" hidden="false" customHeight="false" outlineLevel="0" collapsed="false">
      <c r="A37" s="9" t="s">
        <v>79</v>
      </c>
      <c r="B37" s="14" t="n">
        <v>9000</v>
      </c>
      <c r="E37" s="11"/>
    </row>
    <row r="38" customFormat="false" ht="15" hidden="false" customHeight="false" outlineLevel="0" collapsed="false">
      <c r="A38" s="9" t="s">
        <v>80</v>
      </c>
      <c r="B38" s="23" t="n">
        <v>0.015</v>
      </c>
      <c r="E38" s="11" t="s">
        <v>81</v>
      </c>
    </row>
    <row r="39" customFormat="false" ht="15" hidden="false" customHeight="false" outlineLevel="0" collapsed="false">
      <c r="A39" s="9" t="s">
        <v>82</v>
      </c>
      <c r="B39" s="14" t="n">
        <v>10</v>
      </c>
      <c r="E39" s="11" t="s">
        <v>83</v>
      </c>
    </row>
    <row r="40" customFormat="false" ht="15" hidden="false" customHeight="false" outlineLevel="0" collapsed="false">
      <c r="A40" s="9" t="s">
        <v>84</v>
      </c>
      <c r="B40" s="23" t="n">
        <v>0.00695</v>
      </c>
      <c r="E40" s="11" t="s">
        <v>85</v>
      </c>
    </row>
    <row r="41" customFormat="false" ht="15" hidden="false" customHeight="false" outlineLevel="0" collapsed="false">
      <c r="A41" s="9" t="s">
        <v>86</v>
      </c>
      <c r="B41" s="14" t="n">
        <v>3</v>
      </c>
      <c r="E41" s="11" t="s">
        <v>87</v>
      </c>
    </row>
    <row r="42" customFormat="false" ht="15" hidden="false" customHeight="false" outlineLevel="0" collapsed="false">
      <c r="A42" s="9" t="s">
        <v>88</v>
      </c>
      <c r="B42" s="23" t="n">
        <v>0.01</v>
      </c>
      <c r="E42" s="11" t="s">
        <v>89</v>
      </c>
    </row>
  </sheetData>
  <dataValidations count="1">
    <dataValidation allowBlank="false" errorStyle="stop" operator="between" showDropDown="false" showErrorMessage="false" showInputMessage="false" sqref="B31" type="list">
      <formula1>"GCS,R2,B2"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5" t="s">
        <v>90</v>
      </c>
    </row>
    <row r="2" customFormat="false" ht="15" hidden="false" customHeight="false" outlineLevel="0" collapsed="false">
      <c r="A2" s="24" t="str">
        <f aca="false">"Storage backend: "&amp;Inputs!B31</f>
        <v>Storage backend: GCS</v>
      </c>
    </row>
    <row r="4" customFormat="false" ht="15" hidden="false" customHeight="false" outlineLevel="0" collapsed="false">
      <c r="A4" s="7" t="s">
        <v>91</v>
      </c>
      <c r="B4" s="8" t="str">
        <f aca="false">Inputs!B4</f>
        <v>Small</v>
      </c>
      <c r="C4" s="8" t="str">
        <f aca="false">Inputs!C4</f>
        <v>Medium</v>
      </c>
      <c r="D4" s="8" t="str">
        <f aca="false">Inputs!D4</f>
        <v>Large</v>
      </c>
      <c r="E4" s="7" t="s">
        <v>92</v>
      </c>
    </row>
    <row r="5" customFormat="false" ht="15" hidden="false" customHeight="false" outlineLevel="0" collapsed="false">
      <c r="A5" s="15" t="s">
        <v>93</v>
      </c>
      <c r="B5" s="16"/>
      <c r="C5" s="16"/>
      <c r="D5" s="16"/>
      <c r="E5" s="16"/>
    </row>
    <row r="6" customFormat="false" ht="15" hidden="false" customHeight="false" outlineLevel="0" collapsed="false">
      <c r="A6" s="9" t="s">
        <v>28</v>
      </c>
      <c r="B6" s="25" t="n">
        <f aca="false">Inputs!B5</f>
        <v>100</v>
      </c>
      <c r="C6" s="25" t="n">
        <f aca="false">Inputs!C5</f>
        <v>500</v>
      </c>
      <c r="D6" s="25" t="n">
        <f aca="false">Inputs!D5</f>
        <v>1000</v>
      </c>
    </row>
    <row r="7" customFormat="false" ht="15" hidden="false" customHeight="false" outlineLevel="0" collapsed="false">
      <c r="A7" s="9" t="s">
        <v>94</v>
      </c>
      <c r="B7" s="26" t="n">
        <f aca="false">Inputs!B5*Inputs!B6</f>
        <v>2000</v>
      </c>
      <c r="C7" s="26" t="n">
        <f aca="false">Inputs!C5*Inputs!C6</f>
        <v>10000</v>
      </c>
      <c r="D7" s="26" t="n">
        <f aca="false">Inputs!D5*Inputs!D6</f>
        <v>20000</v>
      </c>
      <c r="E7" s="11" t="s">
        <v>95</v>
      </c>
    </row>
    <row r="8" customFormat="false" ht="15" hidden="false" customHeight="false" outlineLevel="0" collapsed="false">
      <c r="A8" s="9" t="s">
        <v>96</v>
      </c>
      <c r="B8" s="26" t="n">
        <f aca="false">Inputs!B5*Inputs!B7</f>
        <v>100</v>
      </c>
      <c r="C8" s="26" t="n">
        <f aca="false">Inputs!C5*Inputs!C7</f>
        <v>500</v>
      </c>
      <c r="D8" s="26" t="n">
        <f aca="false">Inputs!D5*Inputs!D7</f>
        <v>1000</v>
      </c>
      <c r="E8" s="11" t="s">
        <v>97</v>
      </c>
    </row>
    <row r="9" customFormat="false" ht="15" hidden="false" customHeight="false" outlineLevel="0" collapsed="false">
      <c r="A9" s="15" t="s">
        <v>98</v>
      </c>
      <c r="B9" s="16"/>
      <c r="C9" s="16"/>
      <c r="D9" s="16"/>
      <c r="E9" s="16"/>
    </row>
    <row r="10" customFormat="false" ht="15" hidden="false" customHeight="false" outlineLevel="0" collapsed="false">
      <c r="A10" s="9" t="s">
        <v>99</v>
      </c>
      <c r="B10" s="27" t="n">
        <f aca="false">IF(Inputs!$B$31="GCS",B7*Inputs!$B$32,IF(Inputs!$B$31="R2",MAX(B7-Inputs!$B$39,0)*Inputs!$B$38,B7*Inputs!$B$40))</f>
        <v>46</v>
      </c>
      <c r="C10" s="27" t="n">
        <f aca="false">IF(Inputs!$B$31="GCS",C7*Inputs!$B$32,IF(Inputs!$B$31="R2",MAX(C7-Inputs!$B$39,0)*Inputs!$B$38,C7*Inputs!$B$40))</f>
        <v>230</v>
      </c>
      <c r="D10" s="27" t="n">
        <f aca="false">IF(Inputs!$B$31="GCS",D7*Inputs!$B$32,IF(Inputs!$B$31="R2",MAX(D7-Inputs!$B$39,0)*Inputs!$B$38,D7*Inputs!$B$40))</f>
        <v>460</v>
      </c>
      <c r="E10" s="11" t="s">
        <v>100</v>
      </c>
    </row>
    <row r="11" customFormat="false" ht="15" hidden="false" customHeight="false" outlineLevel="0" collapsed="false">
      <c r="A11" s="9" t="s">
        <v>101</v>
      </c>
      <c r="B11" s="27" t="n">
        <f aca="false">IF(Inputs!$B$31="GCS",MIN(B8,Inputs!$B$36)*Inputs!$B$33+MIN(MAX(B8-Inputs!$B$36,0),Inputs!$B$37)*Inputs!$B$34+MAX(B8-Inputs!$B$36-Inputs!$B$37,0)*Inputs!$B$35,IF(Inputs!$B$31="B2",MAX(B8-Inputs!$B$41*B7,0)*Inputs!$B$42,0))</f>
        <v>12</v>
      </c>
      <c r="C11" s="27" t="n">
        <f aca="false">IF(Inputs!$B$31="GCS",MIN(C8,Inputs!$B$36)*Inputs!$B$33+MIN(MAX(C8-Inputs!$B$36,0),Inputs!$B$37)*Inputs!$B$34+MAX(C8-Inputs!$B$36-Inputs!$B$37,0)*Inputs!$B$35,IF(Inputs!$B$31="B2",MAX(C8-Inputs!$B$41*C7,0)*Inputs!$B$42,0))</f>
        <v>60</v>
      </c>
      <c r="D11" s="27" t="n">
        <f aca="false">IF(Inputs!$B$31="GCS",MIN(D8,Inputs!$B$36)*Inputs!$B$33+MIN(MAX(D8-Inputs!$B$36,0),Inputs!$B$37)*Inputs!$B$34+MAX(D8-Inputs!$B$36-Inputs!$B$37,0)*Inputs!$B$35,IF(Inputs!$B$31="B2",MAX(D8-Inputs!$B$41*D7,0)*Inputs!$B$42,0))</f>
        <v>120</v>
      </c>
      <c r="E11" s="11" t="s">
        <v>102</v>
      </c>
    </row>
    <row r="12" customFormat="false" ht="15" hidden="false" customHeight="false" outlineLevel="0" collapsed="false">
      <c r="A12" s="9" t="s">
        <v>103</v>
      </c>
      <c r="B12" s="28" t="n">
        <f aca="false">Inputs!B8</f>
        <v>4</v>
      </c>
      <c r="C12" s="28" t="n">
        <f aca="false">Inputs!C8</f>
        <v>10</v>
      </c>
      <c r="D12" s="28" t="n">
        <f aca="false">Inputs!D8</f>
        <v>30</v>
      </c>
    </row>
    <row r="13" customFormat="false" ht="15" hidden="false" customHeight="false" outlineLevel="0" collapsed="false">
      <c r="A13" s="29" t="s">
        <v>104</v>
      </c>
      <c r="B13" s="30" t="n">
        <f aca="false">SUM(B10:B12)</f>
        <v>62</v>
      </c>
      <c r="C13" s="30" t="n">
        <f aca="false">SUM(C10:C12)</f>
        <v>300</v>
      </c>
      <c r="D13" s="30" t="n">
        <f aca="false">SUM(D10:D12)</f>
        <v>610</v>
      </c>
    </row>
    <row r="14" customFormat="false" ht="15" hidden="false" customHeight="false" outlineLevel="0" collapsed="false">
      <c r="A14" s="9" t="s">
        <v>105</v>
      </c>
      <c r="B14" s="31" t="n">
        <f aca="false">IFERROR(B13/B6,0)</f>
        <v>0.62</v>
      </c>
      <c r="C14" s="31" t="n">
        <f aca="false">IFERROR(C13/C6,0)</f>
        <v>0.6</v>
      </c>
      <c r="D14" s="31" t="n">
        <f aca="false">IFERROR(D13/D6,0)</f>
        <v>0.61</v>
      </c>
    </row>
    <row r="15" customFormat="false" ht="15" hidden="false" customHeight="false" outlineLevel="0" collapsed="false">
      <c r="A15" s="15" t="s">
        <v>106</v>
      </c>
      <c r="B15" s="16"/>
      <c r="C15" s="16"/>
      <c r="D15" s="16"/>
      <c r="E15" s="16"/>
    </row>
    <row r="16" customFormat="false" ht="15" hidden="false" customHeight="false" outlineLevel="0" collapsed="false">
      <c r="A16" s="9" t="s">
        <v>107</v>
      </c>
      <c r="B16" s="31" t="n">
        <f aca="false">Inputs!$B$22*Inputs!$B$21/12+(1-Inputs!$B$22)*Inputs!$B$20</f>
        <v>4.41308333333333</v>
      </c>
      <c r="C16" s="31" t="n">
        <f aca="false">Inputs!$B$22*Inputs!$B$21/12+(1-Inputs!$B$22)*Inputs!$B$20</f>
        <v>4.41308333333333</v>
      </c>
      <c r="D16" s="31" t="n">
        <f aca="false">Inputs!$B$22*Inputs!$B$21/12+(1-Inputs!$B$22)*Inputs!$B$20</f>
        <v>4.41308333333333</v>
      </c>
      <c r="E16" s="11" t="s">
        <v>108</v>
      </c>
    </row>
    <row r="17" customFormat="false" ht="22.35" hidden="false" customHeight="false" outlineLevel="0" collapsed="false">
      <c r="A17" s="9" t="s">
        <v>109</v>
      </c>
      <c r="B17" s="31" t="n">
        <f aca="false">Inputs!$B$22*((Inputs!$B$21*(Inputs!$B$26+Inputs!$B$27)+Inputs!$B$28)/12)+(1-Inputs!$B$22)*(Inputs!$B$20*(Inputs!$B$26+Inputs!$B$27)+Inputs!$B$28)</f>
        <v>0.234385333333333</v>
      </c>
      <c r="C17" s="31" t="n">
        <f aca="false">Inputs!$B$22*((Inputs!$B$21*(Inputs!$B$26+Inputs!$B$27)+Inputs!$B$28)/12)+(1-Inputs!$B$22)*(Inputs!$B$20*(Inputs!$B$26+Inputs!$B$27)+Inputs!$B$28)</f>
        <v>0.234385333333333</v>
      </c>
      <c r="D17" s="31" t="n">
        <f aca="false">Inputs!$B$22*((Inputs!$B$21*(Inputs!$B$26+Inputs!$B$27)+Inputs!$B$28)/12)+(1-Inputs!$B$22)*(Inputs!$B$20*(Inputs!$B$26+Inputs!$B$27)+Inputs!$B$28)</f>
        <v>0.234385333333333</v>
      </c>
      <c r="E17" s="11" t="s">
        <v>110</v>
      </c>
    </row>
    <row r="18" customFormat="false" ht="15" hidden="false" customHeight="false" outlineLevel="0" collapsed="false">
      <c r="A18" s="9" t="s">
        <v>111</v>
      </c>
      <c r="B18" s="27" t="n">
        <f aca="false">B6*B16</f>
        <v>441.308333333333</v>
      </c>
      <c r="C18" s="27" t="n">
        <f aca="false">C6*C16</f>
        <v>2206.54166666667</v>
      </c>
      <c r="D18" s="27" t="n">
        <f aca="false">D6*D16</f>
        <v>4413.08333333333</v>
      </c>
    </row>
    <row r="19" customFormat="false" ht="15" hidden="false" customHeight="false" outlineLevel="0" collapsed="false">
      <c r="A19" s="9" t="s">
        <v>112</v>
      </c>
      <c r="B19" s="27" t="n">
        <f aca="false">B18-B18/(1+Inputs!$B$23)</f>
        <v>0</v>
      </c>
      <c r="C19" s="27" t="n">
        <f aca="false">C18-C18/(1+Inputs!$B$23)</f>
        <v>0</v>
      </c>
      <c r="D19" s="27" t="n">
        <f aca="false">D18-D18/(1+Inputs!$B$23)</f>
        <v>0</v>
      </c>
      <c r="E19" s="11" t="s">
        <v>113</v>
      </c>
    </row>
    <row r="20" customFormat="false" ht="15" hidden="false" customHeight="false" outlineLevel="0" collapsed="false">
      <c r="A20" s="29" t="s">
        <v>114</v>
      </c>
      <c r="B20" s="30" t="n">
        <f aca="false">B18-B19</f>
        <v>441.308333333333</v>
      </c>
      <c r="C20" s="30" t="n">
        <f aca="false">C18-C19</f>
        <v>2206.54166666667</v>
      </c>
      <c r="D20" s="30" t="n">
        <f aca="false">D18-D19</f>
        <v>4413.08333333333</v>
      </c>
    </row>
    <row r="21" customFormat="false" ht="15" hidden="false" customHeight="false" outlineLevel="0" collapsed="false">
      <c r="A21" s="9" t="s">
        <v>115</v>
      </c>
      <c r="B21" s="27" t="n">
        <f aca="false">B6*B17</f>
        <v>23.4385333333333</v>
      </c>
      <c r="C21" s="27" t="n">
        <f aca="false">C6*C17</f>
        <v>117.192666666667</v>
      </c>
      <c r="D21" s="27" t="n">
        <f aca="false">D6*D17</f>
        <v>234.385333333333</v>
      </c>
    </row>
    <row r="22" customFormat="false" ht="15" hidden="false" customHeight="false" outlineLevel="0" collapsed="false">
      <c r="A22" s="15" t="s">
        <v>116</v>
      </c>
      <c r="B22" s="16"/>
      <c r="C22" s="16"/>
      <c r="D22" s="16"/>
      <c r="E22" s="16"/>
    </row>
    <row r="23" customFormat="false" ht="15" hidden="false" customHeight="false" outlineLevel="0" collapsed="false">
      <c r="A23" s="9" t="s">
        <v>117</v>
      </c>
      <c r="B23" s="28" t="n">
        <f aca="false">Inputs!B9</f>
        <v>30</v>
      </c>
      <c r="C23" s="28" t="n">
        <f aca="false">Inputs!C9</f>
        <v>60</v>
      </c>
      <c r="D23" s="28" t="n">
        <f aca="false">Inputs!D9</f>
        <v>100</v>
      </c>
    </row>
    <row r="24" customFormat="false" ht="15" hidden="false" customHeight="false" outlineLevel="0" collapsed="false">
      <c r="A24" s="9" t="s">
        <v>118</v>
      </c>
      <c r="B24" s="28" t="n">
        <f aca="false">Inputs!B10</f>
        <v>150</v>
      </c>
      <c r="C24" s="28" t="n">
        <f aca="false">Inputs!C10</f>
        <v>200</v>
      </c>
      <c r="D24" s="28" t="n">
        <f aca="false">Inputs!D10</f>
        <v>300</v>
      </c>
    </row>
    <row r="25" customFormat="false" ht="15" hidden="false" customHeight="false" outlineLevel="0" collapsed="false">
      <c r="A25" s="29" t="s">
        <v>119</v>
      </c>
      <c r="B25" s="30" t="n">
        <f aca="false">B13+B21+B23+B24</f>
        <v>265.438533333333</v>
      </c>
      <c r="C25" s="30" t="n">
        <f aca="false">C13+C21+C23+C24</f>
        <v>677.192666666667</v>
      </c>
      <c r="D25" s="30" t="n">
        <f aca="false">D13+D21+D23+D24</f>
        <v>1244.38533333333</v>
      </c>
      <c r="E25" s="11" t="s">
        <v>120</v>
      </c>
    </row>
    <row r="26" customFormat="false" ht="15" hidden="false" customHeight="false" outlineLevel="0" collapsed="false">
      <c r="A26" s="15" t="s">
        <v>121</v>
      </c>
      <c r="B26" s="16"/>
      <c r="C26" s="16"/>
      <c r="D26" s="16"/>
      <c r="E26" s="16"/>
    </row>
    <row r="27" customFormat="false" ht="15" hidden="false" customHeight="false" outlineLevel="0" collapsed="false">
      <c r="A27" s="9" t="s">
        <v>122</v>
      </c>
      <c r="B27" s="27" t="n">
        <f aca="false">Inputs!B11*Inputs!$B$14</f>
        <v>500</v>
      </c>
      <c r="C27" s="27" t="n">
        <f aca="false">Inputs!C11*Inputs!$B$14</f>
        <v>1000</v>
      </c>
      <c r="D27" s="27" t="n">
        <f aca="false">Inputs!D11*Inputs!$B$14</f>
        <v>1500</v>
      </c>
      <c r="E27" s="11" t="s">
        <v>123</v>
      </c>
    </row>
    <row r="28" customFormat="false" ht="15" hidden="false" customHeight="false" outlineLevel="0" collapsed="false">
      <c r="A28" s="9" t="s">
        <v>124</v>
      </c>
      <c r="B28" s="27" t="n">
        <f aca="false">B6*Inputs!$B$15*Inputs!$B$16/60*Inputs!$B$17</f>
        <v>83.3333333333333</v>
      </c>
      <c r="C28" s="27" t="n">
        <f aca="false">C6*Inputs!$B$15*Inputs!$B$16/60*Inputs!$B$17</f>
        <v>416.666666666667</v>
      </c>
      <c r="D28" s="27" t="n">
        <f aca="false">D6*Inputs!$B$15*Inputs!$B$16/60*Inputs!$B$17</f>
        <v>833.333333333333</v>
      </c>
      <c r="E28" s="11" t="s">
        <v>125</v>
      </c>
    </row>
    <row r="29" customFormat="false" ht="15" hidden="false" customHeight="false" outlineLevel="0" collapsed="false">
      <c r="A29" s="29" t="s">
        <v>126</v>
      </c>
      <c r="B29" s="30" t="n">
        <f aca="false">B25+B27+B28</f>
        <v>848.771866666667</v>
      </c>
      <c r="C29" s="30" t="n">
        <f aca="false">C25+C27+C28</f>
        <v>2093.85933333333</v>
      </c>
      <c r="D29" s="30" t="n">
        <f aca="false">D25+D27+D28</f>
        <v>3577.71866666667</v>
      </c>
    </row>
    <row r="30" customFormat="false" ht="15" hidden="false" customHeight="false" outlineLevel="0" collapsed="false">
      <c r="A30" s="15" t="s">
        <v>127</v>
      </c>
      <c r="B30" s="16"/>
      <c r="C30" s="16"/>
      <c r="D30" s="16"/>
      <c r="E30" s="16"/>
    </row>
    <row r="31" customFormat="false" ht="15" hidden="false" customHeight="false" outlineLevel="0" collapsed="false">
      <c r="A31" s="32" t="s">
        <v>128</v>
      </c>
      <c r="B31" s="33" t="n">
        <f aca="false">B20-B25</f>
        <v>175.8698</v>
      </c>
      <c r="C31" s="33" t="n">
        <f aca="false">C20-C25</f>
        <v>1529.349</v>
      </c>
      <c r="D31" s="33" t="n">
        <f aca="false">D20-D25</f>
        <v>3168.698</v>
      </c>
    </row>
    <row r="32" customFormat="false" ht="15" hidden="false" customHeight="false" outlineLevel="0" collapsed="false">
      <c r="A32" s="32" t="s">
        <v>129</v>
      </c>
      <c r="B32" s="33" t="n">
        <f aca="false">B20-B29</f>
        <v>-407.463533333333</v>
      </c>
      <c r="C32" s="33" t="n">
        <f aca="false">C20-C29</f>
        <v>112.682333333334</v>
      </c>
      <c r="D32" s="33" t="n">
        <f aca="false">D20-D29</f>
        <v>835.364666666667</v>
      </c>
    </row>
    <row r="33" customFormat="false" ht="15" hidden="false" customHeight="false" outlineLevel="0" collapsed="false">
      <c r="A33" s="9" t="s">
        <v>130</v>
      </c>
      <c r="B33" s="31" t="n">
        <f aca="false">IFERROR(B29/B6,0)</f>
        <v>8.48771866666667</v>
      </c>
      <c r="C33" s="31" t="n">
        <f aca="false">IFERROR(C29/C6,0)</f>
        <v>4.18771866666667</v>
      </c>
      <c r="D33" s="31" t="n">
        <f aca="false">IFERROR(D29/D6,0)</f>
        <v>3.57771866666667</v>
      </c>
    </row>
    <row r="34" customFormat="false" ht="15" hidden="false" customHeight="false" outlineLevel="0" collapsed="false">
      <c r="A34" s="9" t="s">
        <v>131</v>
      </c>
      <c r="B34" s="31" t="n">
        <f aca="false">IFERROR(B20/B6,0)</f>
        <v>4.41308333333333</v>
      </c>
      <c r="C34" s="31" t="n">
        <f aca="false">IFERROR(C20/C6,0)</f>
        <v>4.41308333333333</v>
      </c>
      <c r="D34" s="31" t="n">
        <f aca="false">IFERROR(D20/D6,0)</f>
        <v>4.41308333333333</v>
      </c>
    </row>
    <row r="35" customFormat="false" ht="15" hidden="false" customHeight="false" outlineLevel="0" collapsed="false">
      <c r="A35" s="9" t="s">
        <v>132</v>
      </c>
      <c r="B35" s="34" t="n">
        <f aca="false">IFERROR(B32/B20,0)</f>
        <v>-0.923308042374001</v>
      </c>
      <c r="C35" s="34" t="n">
        <f aca="false">IFERROR(C32/C20,0)</f>
        <v>0.0510673943010368</v>
      </c>
      <c r="D35" s="34" t="n">
        <f aca="false">IFERROR(D32/D20,0)</f>
        <v>0.189292746945635</v>
      </c>
    </row>
    <row r="36" customFormat="false" ht="15" hidden="false" customHeight="false" outlineLevel="0" collapsed="false">
      <c r="A36" s="15" t="s">
        <v>133</v>
      </c>
      <c r="B36" s="16"/>
      <c r="C36" s="16"/>
      <c r="D36" s="16"/>
      <c r="E36" s="16"/>
    </row>
    <row r="37" customFormat="false" ht="15" hidden="false" customHeight="false" outlineLevel="0" collapsed="false">
      <c r="A37" s="9" t="s">
        <v>134</v>
      </c>
      <c r="B37" s="35" t="n">
        <f aca="false">Inputs!$B$22*(Inputs!$B$21/Inputs!$B$20)/12+(1-Inputs!$B$22)</f>
        <v>0.88438543754175</v>
      </c>
      <c r="C37" s="35" t="n">
        <f aca="false">Inputs!$B$22*(Inputs!$B$21/Inputs!$B$20)/12+(1-Inputs!$B$22)</f>
        <v>0.88438543754175</v>
      </c>
      <c r="D37" s="35" t="n">
        <f aca="false">Inputs!$B$22*(Inputs!$B$21/Inputs!$B$20)/12+(1-Inputs!$B$22)</f>
        <v>0.88438543754175</v>
      </c>
      <c r="E37" s="11" t="s">
        <v>135</v>
      </c>
    </row>
    <row r="38" customFormat="false" ht="15" hidden="false" customHeight="false" outlineLevel="0" collapsed="false">
      <c r="A38" s="9" t="s">
        <v>136</v>
      </c>
      <c r="B38" s="36" t="n">
        <f aca="false">Inputs!$B$28*(Inputs!$B$22/12+(1-Inputs!$B$22))</f>
        <v>0.0931666666666667</v>
      </c>
      <c r="C38" s="36" t="n">
        <f aca="false">Inputs!$B$28*(Inputs!$B$22/12+(1-Inputs!$B$22))</f>
        <v>0.0931666666666667</v>
      </c>
      <c r="D38" s="36" t="n">
        <f aca="false">Inputs!$B$28*(Inputs!$B$22/12+(1-Inputs!$B$22))</f>
        <v>0.0931666666666667</v>
      </c>
    </row>
    <row r="39" customFormat="false" ht="15" hidden="false" customHeight="false" outlineLevel="0" collapsed="false">
      <c r="A39" s="29" t="s">
        <v>137</v>
      </c>
      <c r="B39" s="37" t="n">
        <f aca="false">IFERROR(((B13+B23+B24)/B6+B38)/(B37*(1/(1+Inputs!$B$23)-(Inputs!$B$26+Inputs!$B$27))),0)</f>
        <v>2.93565050515801</v>
      </c>
      <c r="C39" s="37" t="n">
        <f aca="false">IFERROR(((C13+C23+C24)/C6+C38)/(C37*(1/(1+Inputs!$B$23)-(Inputs!$B$26+Inputs!$B$27))),0)</f>
        <v>1.41710988971717</v>
      </c>
      <c r="D39" s="37" t="n">
        <f aca="false">IFERROR(((D13+D23+D24)/D6+D38)/(D37*(1/(1+Inputs!$B$23)-(Inputs!$B$26+Inputs!$B$27))),0)</f>
        <v>1.28861799148756</v>
      </c>
      <c r="E39" s="11" t="s">
        <v>138</v>
      </c>
    </row>
    <row r="40" customFormat="false" ht="15" hidden="false" customHeight="false" outlineLevel="0" collapsed="false">
      <c r="A40" s="29" t="s">
        <v>139</v>
      </c>
      <c r="B40" s="37" t="n">
        <f aca="false">IFERROR(((B29-B21)/B6+B38)/(B37*(1/(1+Inputs!$B$23)-(Inputs!$B$26+Inputs!$B$27))),0)</f>
        <v>9.74961480521309</v>
      </c>
      <c r="C40" s="37" t="n">
        <f aca="false">IFERROR(((C29-C21)/C6+C38)/(C37*(1/(1+Inputs!$B$23)-(Inputs!$B$26+Inputs!$B$27))),0)</f>
        <v>4.72674969260106</v>
      </c>
      <c r="D40" s="37" t="n">
        <f aca="false">IFERROR(((D29-D21)/D6+D38)/(D37*(1/(1+Inputs!$B$23)-(Inputs!$B$26+Inputs!$B$27))),0)</f>
        <v>4.01420371150959</v>
      </c>
      <c r="E40" s="11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5" t="s">
        <v>141</v>
      </c>
    </row>
    <row r="2" customFormat="false" ht="15" hidden="false" customHeight="false" outlineLevel="0" collapsed="false">
      <c r="A2" s="6" t="s">
        <v>142</v>
      </c>
    </row>
    <row r="4" customFormat="false" ht="15" hidden="false" customHeight="false" outlineLevel="0" collapsed="false">
      <c r="A4" s="7" t="s">
        <v>91</v>
      </c>
      <c r="B4" s="8" t="str">
        <f aca="false">Inputs!B4</f>
        <v>Small</v>
      </c>
      <c r="C4" s="8" t="str">
        <f aca="false">Inputs!C4</f>
        <v>Medium</v>
      </c>
      <c r="D4" s="8" t="str">
        <f aca="false">Inputs!D4</f>
        <v>Large</v>
      </c>
    </row>
    <row r="5" customFormat="false" ht="15" hidden="false" customHeight="false" outlineLevel="0" collapsed="false">
      <c r="A5" s="15" t="s">
        <v>143</v>
      </c>
      <c r="B5" s="16"/>
      <c r="C5" s="16"/>
      <c r="D5" s="16"/>
    </row>
    <row r="6" customFormat="false" ht="15" hidden="false" customHeight="false" outlineLevel="0" collapsed="false">
      <c r="A6" s="9" t="s">
        <v>99</v>
      </c>
      <c r="B6" s="27" t="n">
        <f aca="false">Model!B7*Inputs!$B$32</f>
        <v>46</v>
      </c>
      <c r="C6" s="27" t="n">
        <f aca="false">Model!C7*Inputs!$B$32</f>
        <v>230</v>
      </c>
      <c r="D6" s="27" t="n">
        <f aca="false">Model!D7*Inputs!$B$32</f>
        <v>460</v>
      </c>
    </row>
    <row r="7" customFormat="false" ht="15" hidden="false" customHeight="false" outlineLevel="0" collapsed="false">
      <c r="A7" s="9" t="s">
        <v>144</v>
      </c>
      <c r="B7" s="27" t="n">
        <f aca="false">MIN(Model!B8,Inputs!$B$36)*Inputs!$B$33+MIN(MAX(Model!B8-Inputs!$B$36,0),Inputs!$B$37)*Inputs!$B$34+MAX(Model!B8-Inputs!$B$36-Inputs!$B$37,0)*Inputs!$B$35</f>
        <v>12</v>
      </c>
      <c r="C7" s="27" t="n">
        <f aca="false">MIN(Model!C8,Inputs!$B$36)*Inputs!$B$33+MIN(MAX(Model!C8-Inputs!$B$36,0),Inputs!$B$37)*Inputs!$B$34+MAX(Model!C8-Inputs!$B$36-Inputs!$B$37,0)*Inputs!$B$35</f>
        <v>60</v>
      </c>
      <c r="D7" s="27" t="n">
        <f aca="false">MIN(Model!D8,Inputs!$B$36)*Inputs!$B$33+MIN(MAX(Model!D8-Inputs!$B$36,0),Inputs!$B$37)*Inputs!$B$34+MAX(Model!D8-Inputs!$B$36-Inputs!$B$37,0)*Inputs!$B$35</f>
        <v>120</v>
      </c>
    </row>
    <row r="8" customFormat="false" ht="15" hidden="false" customHeight="false" outlineLevel="0" collapsed="false">
      <c r="A8" s="9" t="s">
        <v>145</v>
      </c>
      <c r="B8" s="28" t="n">
        <f aca="false">Model!B12</f>
        <v>4</v>
      </c>
      <c r="C8" s="28" t="n">
        <f aca="false">Model!C12</f>
        <v>10</v>
      </c>
      <c r="D8" s="28" t="n">
        <f aca="false">Model!D12</f>
        <v>30</v>
      </c>
    </row>
    <row r="9" customFormat="false" ht="15" hidden="false" customHeight="false" outlineLevel="0" collapsed="false">
      <c r="A9" s="29" t="s">
        <v>104</v>
      </c>
      <c r="B9" s="30" t="n">
        <f aca="false">SUM(B6:B8)</f>
        <v>62</v>
      </c>
      <c r="C9" s="30" t="n">
        <f aca="false">SUM(C6:C8)</f>
        <v>300</v>
      </c>
      <c r="D9" s="30" t="n">
        <f aca="false">SUM(D6:D8)</f>
        <v>610</v>
      </c>
    </row>
    <row r="10" customFormat="false" ht="15" hidden="false" customHeight="false" outlineLevel="0" collapsed="false">
      <c r="A10" s="9" t="s">
        <v>105</v>
      </c>
      <c r="B10" s="31" t="n">
        <f aca="false">IFERROR(B9/Model!B6,0)</f>
        <v>0.62</v>
      </c>
      <c r="C10" s="31" t="n">
        <f aca="false">IFERROR(C9/Model!C6,0)</f>
        <v>0.6</v>
      </c>
      <c r="D10" s="31" t="n">
        <f aca="false">IFERROR(D9/Model!D6,0)</f>
        <v>0.61</v>
      </c>
    </row>
    <row r="11" customFormat="false" ht="15" hidden="false" customHeight="false" outlineLevel="0" collapsed="false">
      <c r="A11" s="29" t="s">
        <v>146</v>
      </c>
      <c r="B11" s="38" t="n">
        <f aca="false">Model!B20-(B9+Model!B21+Model!B23+Model!B24)</f>
        <v>175.8698</v>
      </c>
      <c r="C11" s="38" t="n">
        <f aca="false">Model!C20-(C9+Model!C21+Model!C23+Model!C24)</f>
        <v>1529.349</v>
      </c>
      <c r="D11" s="38" t="n">
        <f aca="false">Model!D20-(D9+Model!D21+Model!D23+Model!D24)</f>
        <v>3168.698</v>
      </c>
    </row>
    <row r="12" customFormat="false" ht="15" hidden="false" customHeight="false" outlineLevel="0" collapsed="false">
      <c r="A12" s="29" t="s">
        <v>147</v>
      </c>
      <c r="B12" s="38" t="n">
        <f aca="false">Model!B20-(B9+Model!B21+Model!B23+Model!B24+Model!B27+Model!B28)</f>
        <v>-407.463533333333</v>
      </c>
      <c r="C12" s="38" t="n">
        <f aca="false">Model!C20-(C9+Model!C21+Model!C23+Model!C24+Model!C27+Model!C28)</f>
        <v>112.682333333334</v>
      </c>
      <c r="D12" s="38" t="n">
        <f aca="false">Model!D20-(D9+Model!D21+Model!D23+Model!D24+Model!D27+Model!D28)</f>
        <v>835.364666666667</v>
      </c>
    </row>
    <row r="14" customFormat="false" ht="15" hidden="false" customHeight="false" outlineLevel="0" collapsed="false">
      <c r="A14" s="15" t="s">
        <v>148</v>
      </c>
      <c r="B14" s="16"/>
      <c r="C14" s="16"/>
      <c r="D14" s="16"/>
    </row>
    <row r="15" customFormat="false" ht="15" hidden="false" customHeight="false" outlineLevel="0" collapsed="false">
      <c r="A15" s="9" t="s">
        <v>99</v>
      </c>
      <c r="B15" s="27" t="n">
        <f aca="false">MAX(Model!B7-Inputs!$B$39,0)*Inputs!$B$38</f>
        <v>29.85</v>
      </c>
      <c r="C15" s="27" t="n">
        <f aca="false">MAX(Model!C7-Inputs!$B$39,0)*Inputs!$B$38</f>
        <v>149.85</v>
      </c>
      <c r="D15" s="27" t="n">
        <f aca="false">MAX(Model!D7-Inputs!$B$39,0)*Inputs!$B$38</f>
        <v>299.85</v>
      </c>
    </row>
    <row r="16" customFormat="false" ht="15" hidden="false" customHeight="false" outlineLevel="0" collapsed="false">
      <c r="A16" s="9" t="s">
        <v>144</v>
      </c>
      <c r="B16" s="27" t="n">
        <f aca="false">0</f>
        <v>0</v>
      </c>
      <c r="C16" s="27" t="n">
        <f aca="false">0</f>
        <v>0</v>
      </c>
      <c r="D16" s="27" t="n">
        <f aca="false">0</f>
        <v>0</v>
      </c>
    </row>
    <row r="17" customFormat="false" ht="15" hidden="false" customHeight="false" outlineLevel="0" collapsed="false">
      <c r="A17" s="9" t="s">
        <v>145</v>
      </c>
      <c r="B17" s="28" t="n">
        <f aca="false">Model!B12</f>
        <v>4</v>
      </c>
      <c r="C17" s="28" t="n">
        <f aca="false">Model!C12</f>
        <v>10</v>
      </c>
      <c r="D17" s="28" t="n">
        <f aca="false">Model!D12</f>
        <v>30</v>
      </c>
    </row>
    <row r="18" customFormat="false" ht="15" hidden="false" customHeight="false" outlineLevel="0" collapsed="false">
      <c r="A18" s="29" t="s">
        <v>104</v>
      </c>
      <c r="B18" s="30" t="n">
        <f aca="false">SUM(B15:B17)</f>
        <v>33.85</v>
      </c>
      <c r="C18" s="30" t="n">
        <f aca="false">SUM(C15:C17)</f>
        <v>159.85</v>
      </c>
      <c r="D18" s="30" t="n">
        <f aca="false">SUM(D15:D17)</f>
        <v>329.85</v>
      </c>
    </row>
    <row r="19" customFormat="false" ht="15" hidden="false" customHeight="false" outlineLevel="0" collapsed="false">
      <c r="A19" s="9" t="s">
        <v>105</v>
      </c>
      <c r="B19" s="31" t="n">
        <f aca="false">IFERROR(B18/Model!B6,0)</f>
        <v>0.3385</v>
      </c>
      <c r="C19" s="31" t="n">
        <f aca="false">IFERROR(C18/Model!C6,0)</f>
        <v>0.3197</v>
      </c>
      <c r="D19" s="31" t="n">
        <f aca="false">IFERROR(D18/Model!D6,0)</f>
        <v>0.32985</v>
      </c>
    </row>
    <row r="20" customFormat="false" ht="15" hidden="false" customHeight="false" outlineLevel="0" collapsed="false">
      <c r="A20" s="29" t="s">
        <v>146</v>
      </c>
      <c r="B20" s="38" t="n">
        <f aca="false">Model!B20-(B18+Model!B21+Model!B23+Model!B24)</f>
        <v>204.0198</v>
      </c>
      <c r="C20" s="38" t="n">
        <f aca="false">Model!C20-(C18+Model!C21+Model!C23+Model!C24)</f>
        <v>1669.499</v>
      </c>
      <c r="D20" s="38" t="n">
        <f aca="false">Model!D20-(D18+Model!D21+Model!D23+Model!D24)</f>
        <v>3448.848</v>
      </c>
    </row>
    <row r="21" customFormat="false" ht="15" hidden="false" customHeight="false" outlineLevel="0" collapsed="false">
      <c r="A21" s="29" t="s">
        <v>147</v>
      </c>
      <c r="B21" s="38" t="n">
        <f aca="false">Model!B20-(B18+Model!B21+Model!B23+Model!B24+Model!B27+Model!B28)</f>
        <v>-379.313533333333</v>
      </c>
      <c r="C21" s="38" t="n">
        <f aca="false">Model!C20-(C18+Model!C21+Model!C23+Model!C24+Model!C27+Model!C28)</f>
        <v>252.832333333334</v>
      </c>
      <c r="D21" s="38" t="n">
        <f aca="false">Model!D20-(D18+Model!D21+Model!D23+Model!D24+Model!D27+Model!D28)</f>
        <v>1115.51466666667</v>
      </c>
    </row>
    <row r="23" customFormat="false" ht="15" hidden="false" customHeight="false" outlineLevel="0" collapsed="false">
      <c r="A23" s="15" t="s">
        <v>149</v>
      </c>
      <c r="B23" s="16"/>
      <c r="C23" s="16"/>
      <c r="D23" s="16"/>
    </row>
    <row r="24" customFormat="false" ht="15" hidden="false" customHeight="false" outlineLevel="0" collapsed="false">
      <c r="A24" s="9" t="s">
        <v>99</v>
      </c>
      <c r="B24" s="27" t="n">
        <f aca="false">Model!B7*Inputs!$B$40</f>
        <v>13.9</v>
      </c>
      <c r="C24" s="27" t="n">
        <f aca="false">Model!C7*Inputs!$B$40</f>
        <v>69.5</v>
      </c>
      <c r="D24" s="27" t="n">
        <f aca="false">Model!D7*Inputs!$B$40</f>
        <v>139</v>
      </c>
    </row>
    <row r="25" customFormat="false" ht="15" hidden="false" customHeight="false" outlineLevel="0" collapsed="false">
      <c r="A25" s="9" t="s">
        <v>144</v>
      </c>
      <c r="B25" s="27" t="n">
        <f aca="false">MAX(Model!B8-Inputs!$B$41*Model!B7,0)*Inputs!$B$42</f>
        <v>0</v>
      </c>
      <c r="C25" s="27" t="n">
        <f aca="false">MAX(Model!C8-Inputs!$B$41*Model!C7,0)*Inputs!$B$42</f>
        <v>0</v>
      </c>
      <c r="D25" s="27" t="n">
        <f aca="false">MAX(Model!D8-Inputs!$B$41*Model!D7,0)*Inputs!$B$42</f>
        <v>0</v>
      </c>
    </row>
    <row r="26" customFormat="false" ht="15" hidden="false" customHeight="false" outlineLevel="0" collapsed="false">
      <c r="A26" s="9" t="s">
        <v>145</v>
      </c>
      <c r="B26" s="28" t="n">
        <f aca="false">Model!B12</f>
        <v>4</v>
      </c>
      <c r="C26" s="28" t="n">
        <f aca="false">Model!C12</f>
        <v>10</v>
      </c>
      <c r="D26" s="28" t="n">
        <f aca="false">Model!D12</f>
        <v>30</v>
      </c>
    </row>
    <row r="27" customFormat="false" ht="15" hidden="false" customHeight="false" outlineLevel="0" collapsed="false">
      <c r="A27" s="29" t="s">
        <v>104</v>
      </c>
      <c r="B27" s="30" t="n">
        <f aca="false">SUM(B24:B26)</f>
        <v>17.9</v>
      </c>
      <c r="C27" s="30" t="n">
        <f aca="false">SUM(C24:C26)</f>
        <v>79.5</v>
      </c>
      <c r="D27" s="30" t="n">
        <f aca="false">SUM(D24:D26)</f>
        <v>169</v>
      </c>
    </row>
    <row r="28" customFormat="false" ht="15" hidden="false" customHeight="false" outlineLevel="0" collapsed="false">
      <c r="A28" s="9" t="s">
        <v>105</v>
      </c>
      <c r="B28" s="31" t="n">
        <f aca="false">IFERROR(B27/Model!B6,0)</f>
        <v>0.179</v>
      </c>
      <c r="C28" s="31" t="n">
        <f aca="false">IFERROR(C27/Model!C6,0)</f>
        <v>0.159</v>
      </c>
      <c r="D28" s="31" t="n">
        <f aca="false">IFERROR(D27/Model!D6,0)</f>
        <v>0.169</v>
      </c>
    </row>
    <row r="29" customFormat="false" ht="15" hidden="false" customHeight="false" outlineLevel="0" collapsed="false">
      <c r="A29" s="29" t="s">
        <v>146</v>
      </c>
      <c r="B29" s="38" t="n">
        <f aca="false">Model!B20-(B27+Model!B21+Model!B23+Model!B24)</f>
        <v>219.9698</v>
      </c>
      <c r="C29" s="38" t="n">
        <f aca="false">Model!C20-(C27+Model!C21+Model!C23+Model!C24)</f>
        <v>1749.849</v>
      </c>
      <c r="D29" s="38" t="n">
        <f aca="false">Model!D20-(D27+Model!D21+Model!D23+Model!D24)</f>
        <v>3609.698</v>
      </c>
    </row>
    <row r="30" customFormat="false" ht="15" hidden="false" customHeight="false" outlineLevel="0" collapsed="false">
      <c r="A30" s="29" t="s">
        <v>147</v>
      </c>
      <c r="B30" s="38" t="n">
        <f aca="false">Model!B20-(B27+Model!B21+Model!B23+Model!B24+Model!B27+Model!B28)</f>
        <v>-363.363533333333</v>
      </c>
      <c r="C30" s="38" t="n">
        <f aca="false">Model!C20-(C27+Model!C21+Model!C23+Model!C24+Model!C27+Model!C28)</f>
        <v>333.182333333333</v>
      </c>
      <c r="D30" s="38" t="n">
        <f aca="false">Model!D20-(D27+Model!D21+Model!D23+Model!D24+Model!D27+Model!D28)</f>
        <v>1276.36466666667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8" min="3" style="0" width="15"/>
  </cols>
  <sheetData>
    <row r="1" customFormat="false" ht="17.35" hidden="false" customHeight="false" outlineLevel="0" collapsed="false">
      <c r="A1" s="5" t="s">
        <v>150</v>
      </c>
    </row>
    <row r="2" customFormat="false" ht="15" hidden="false" customHeight="false" outlineLevel="0" collapsed="false">
      <c r="A2" s="6" t="s">
        <v>151</v>
      </c>
    </row>
    <row r="4" customFormat="false" ht="15" hidden="false" customHeight="false" outlineLevel="0" collapsed="false">
      <c r="A4" s="39"/>
      <c r="B4" s="39"/>
      <c r="C4" s="40" t="s">
        <v>152</v>
      </c>
      <c r="D4" s="40"/>
      <c r="E4" s="40"/>
      <c r="F4" s="40" t="s">
        <v>153</v>
      </c>
      <c r="G4" s="40"/>
      <c r="H4" s="40"/>
    </row>
    <row r="5" customFormat="false" ht="15" hidden="false" customHeight="false" outlineLevel="0" collapsed="false">
      <c r="A5" s="7" t="s">
        <v>154</v>
      </c>
      <c r="B5" s="7" t="s">
        <v>155</v>
      </c>
      <c r="C5" s="8" t="str">
        <f aca="false">Inputs!B4&amp;" ("&amp;TEXT(Inputs!B5,"#,##0")&amp;")"</f>
        <v>Small (100)</v>
      </c>
      <c r="D5" s="8" t="str">
        <f aca="false">Inputs!C4&amp;" ("&amp;TEXT(Inputs!C5,"#,##0")&amp;")"</f>
        <v>Medium (500)</v>
      </c>
      <c r="E5" s="8" t="str">
        <f aca="false">Inputs!D4&amp;" ("&amp;TEXT(Inputs!D5,"#,##0")&amp;")"</f>
        <v>Large (1,000)</v>
      </c>
      <c r="F5" s="8" t="str">
        <f aca="false">Inputs!B4&amp;" ("&amp;TEXT(Inputs!B5,"#,##0")&amp;")"</f>
        <v>Small (100)</v>
      </c>
      <c r="G5" s="8" t="str">
        <f aca="false">Inputs!C4&amp;" ("&amp;TEXT(Inputs!C5,"#,##0")&amp;")"</f>
        <v>Medium (500)</v>
      </c>
      <c r="H5" s="8" t="str">
        <f aca="false">Inputs!D4&amp;" ("&amp;TEXT(Inputs!D5,"#,##0")&amp;")"</f>
        <v>Large (1,000)</v>
      </c>
    </row>
    <row r="6" customFormat="false" ht="15" hidden="false" customHeight="false" outlineLevel="0" collapsed="false">
      <c r="A6" s="17" t="n">
        <v>2.99</v>
      </c>
      <c r="B6" s="31" t="n">
        <f aca="false">A6*Inputs!$B$21/Inputs!$B$20</f>
        <v>29.9539278557114</v>
      </c>
      <c r="C6" s="41" t="n">
        <f aca="false">Model!$B$6*($A6*Model!$B$37/(1+Inputs!$B$23)-$A6*(Inputs!$B$26+Inputs!$B$27)*Model!$B$37-Model!$B$38)-(Model!$B$13+Model!$B$23+Model!$B$24)</f>
        <v>4.65277929191717</v>
      </c>
      <c r="D6" s="41" t="n">
        <f aca="false">Model!$C$6*($A6*Model!$B$37/(1+Inputs!$B$23)-$A6*(Inputs!$B$26+Inputs!$B$27)*Model!$B$37-Model!$B$38)-(Model!$C$13+Model!$C$23+Model!$C$24)</f>
        <v>673.263896459586</v>
      </c>
      <c r="E6" s="41" t="n">
        <f aca="false">Model!$D$6*($A6*Model!$B$37/(1+Inputs!$B$23)-$A6*(Inputs!$B$26+Inputs!$B$27)*Model!$B$37-Model!$B$38)-(Model!$D$13+Model!$D$23+Model!$D$24)</f>
        <v>1456.52779291917</v>
      </c>
      <c r="F6" s="41" t="n">
        <f aca="false">Model!$B$6*($A6*Model!$B$37/(1+Inputs!$B$23)-$A6*(Inputs!$B$26+Inputs!$B$27)*Model!$B$37-Model!$B$38)-(Model!$B$29-Model!$B$21)</f>
        <v>-578.680554041416</v>
      </c>
      <c r="G6" s="41" t="n">
        <f aca="false">Model!$C$6*($A6*Model!$B$37/(1+Inputs!$B$23)-$A6*(Inputs!$B$26+Inputs!$B$27)*Model!$B$37-Model!$B$38)-(Model!$C$29-Model!$C$21)</f>
        <v>-743.402770207081</v>
      </c>
      <c r="H6" s="41" t="n">
        <f aca="false">Model!$D$6*($A6*Model!$B$37/(1+Inputs!$B$23)-$A6*(Inputs!$B$26+Inputs!$B$27)*Model!$B$37-Model!$B$38)-(Model!$D$29-Model!$D$21)</f>
        <v>-876.805540414162</v>
      </c>
    </row>
    <row r="7" customFormat="false" ht="15" hidden="false" customHeight="false" outlineLevel="0" collapsed="false">
      <c r="A7" s="17" t="n">
        <v>3.99</v>
      </c>
      <c r="B7" s="31" t="n">
        <f aca="false">A7*Inputs!$B$21/Inputs!$B$20</f>
        <v>39.9719639278557</v>
      </c>
      <c r="C7" s="41" t="n">
        <f aca="false">Model!$B$6*($A7*Model!$B$37/(1+Inputs!$B$23)-$A7*(Inputs!$B$26+Inputs!$B$27)*Model!$B$37-Model!$B$38)-(Model!$B$13+Model!$B$23+Model!$B$24)</f>
        <v>90.2612896459586</v>
      </c>
      <c r="D7" s="41" t="n">
        <f aca="false">Model!$C$6*($A7*Model!$B$37/(1+Inputs!$B$23)-$A7*(Inputs!$B$26+Inputs!$B$27)*Model!$B$37-Model!$B$38)-(Model!$C$13+Model!$C$23+Model!$C$24)</f>
        <v>1101.30644822979</v>
      </c>
      <c r="E7" s="41" t="n">
        <f aca="false">Model!$D$6*($A7*Model!$B$37/(1+Inputs!$B$23)-$A7*(Inputs!$B$26+Inputs!$B$27)*Model!$B$37-Model!$B$38)-(Model!$D$13+Model!$D$23+Model!$D$24)</f>
        <v>2312.61289645959</v>
      </c>
      <c r="F7" s="41" t="n">
        <f aca="false">Model!$B$6*($A7*Model!$B$37/(1+Inputs!$B$23)-$A7*(Inputs!$B$26+Inputs!$B$27)*Model!$B$37-Model!$B$38)-(Model!$B$29-Model!$B$21)</f>
        <v>-493.072043687375</v>
      </c>
      <c r="G7" s="41" t="n">
        <f aca="false">Model!$C$6*($A7*Model!$B$37/(1+Inputs!$B$23)-$A7*(Inputs!$B$26+Inputs!$B$27)*Model!$B$37-Model!$B$38)-(Model!$C$29-Model!$C$21)</f>
        <v>-315.360218436874</v>
      </c>
      <c r="H7" s="41" t="n">
        <f aca="false">Model!$D$6*($A7*Model!$B$37/(1+Inputs!$B$23)-$A7*(Inputs!$B$26+Inputs!$B$27)*Model!$B$37-Model!$B$38)-(Model!$D$29-Model!$D$21)</f>
        <v>-20.720436873748</v>
      </c>
    </row>
    <row r="8" customFormat="false" ht="15" hidden="false" customHeight="false" outlineLevel="0" collapsed="false">
      <c r="A8" s="17" t="n">
        <v>4.99</v>
      </c>
      <c r="B8" s="31" t="n">
        <f aca="false">A8*Inputs!$B$21/Inputs!$B$20</f>
        <v>49.99</v>
      </c>
      <c r="C8" s="41" t="n">
        <f aca="false">Model!$B$6*($A8*Model!$B$37/(1+Inputs!$B$23)-$A8*(Inputs!$B$26+Inputs!$B$27)*Model!$B$37-Model!$B$38)-(Model!$B$13+Model!$B$23+Model!$B$24)</f>
        <v>175.8698</v>
      </c>
      <c r="D8" s="41" t="n">
        <f aca="false">Model!$C$6*($A8*Model!$B$37/(1+Inputs!$B$23)-$A8*(Inputs!$B$26+Inputs!$B$27)*Model!$B$37-Model!$B$38)-(Model!$C$13+Model!$C$23+Model!$C$24)</f>
        <v>1529.349</v>
      </c>
      <c r="E8" s="41" t="n">
        <f aca="false">Model!$D$6*($A8*Model!$B$37/(1+Inputs!$B$23)-$A8*(Inputs!$B$26+Inputs!$B$27)*Model!$B$37-Model!$B$38)-(Model!$D$13+Model!$D$23+Model!$D$24)</f>
        <v>3168.698</v>
      </c>
      <c r="F8" s="41" t="n">
        <f aca="false">Model!$B$6*($A8*Model!$B$37/(1+Inputs!$B$23)-$A8*(Inputs!$B$26+Inputs!$B$27)*Model!$B$37-Model!$B$38)-(Model!$B$29-Model!$B$21)</f>
        <v>-407.463533333333</v>
      </c>
      <c r="G8" s="41" t="n">
        <f aca="false">Model!$C$6*($A8*Model!$B$37/(1+Inputs!$B$23)-$A8*(Inputs!$B$26+Inputs!$B$27)*Model!$B$37-Model!$B$38)-(Model!$C$29-Model!$C$21)</f>
        <v>112.682333333333</v>
      </c>
      <c r="H8" s="41" t="n">
        <f aca="false">Model!$D$6*($A8*Model!$B$37/(1+Inputs!$B$23)-$A8*(Inputs!$B$26+Inputs!$B$27)*Model!$B$37-Model!$B$38)-(Model!$D$29-Model!$D$21)</f>
        <v>835.364666666666</v>
      </c>
    </row>
    <row r="9" customFormat="false" ht="15" hidden="false" customHeight="false" outlineLevel="0" collapsed="false">
      <c r="A9" s="17" t="n">
        <v>5.99</v>
      </c>
      <c r="B9" s="31" t="n">
        <f aca="false">A9*Inputs!$B$21/Inputs!$B$20</f>
        <v>60.0080360721443</v>
      </c>
      <c r="C9" s="41" t="n">
        <f aca="false">Model!$B$6*($A9*Model!$B$37/(1+Inputs!$B$23)-$A9*(Inputs!$B$26+Inputs!$B$27)*Model!$B$37-Model!$B$38)-(Model!$B$13+Model!$B$23+Model!$B$24)</f>
        <v>261.478310354041</v>
      </c>
      <c r="D9" s="41" t="n">
        <f aca="false">Model!$C$6*($A9*Model!$B$37/(1+Inputs!$B$23)-$A9*(Inputs!$B$26+Inputs!$B$27)*Model!$B$37-Model!$B$38)-(Model!$C$13+Model!$C$23+Model!$C$24)</f>
        <v>1957.39155177021</v>
      </c>
      <c r="E9" s="41" t="n">
        <f aca="false">Model!$D$6*($A9*Model!$B$37/(1+Inputs!$B$23)-$A9*(Inputs!$B$26+Inputs!$B$27)*Model!$B$37-Model!$B$38)-(Model!$D$13+Model!$D$23+Model!$D$24)</f>
        <v>4024.78310354041</v>
      </c>
      <c r="F9" s="41" t="n">
        <f aca="false">Model!$B$6*($A9*Model!$B$37/(1+Inputs!$B$23)-$A9*(Inputs!$B$26+Inputs!$B$27)*Model!$B$37-Model!$B$38)-(Model!$B$29-Model!$B$21)</f>
        <v>-321.855022979292</v>
      </c>
      <c r="G9" s="41" t="n">
        <f aca="false">Model!$C$6*($A9*Model!$B$37/(1+Inputs!$B$23)-$A9*(Inputs!$B$26+Inputs!$B$27)*Model!$B$37-Model!$B$38)-(Model!$C$29-Model!$C$21)</f>
        <v>540.72488510354</v>
      </c>
      <c r="H9" s="41" t="n">
        <f aca="false">Model!$D$6*($A9*Model!$B$37/(1+Inputs!$B$23)-$A9*(Inputs!$B$26+Inputs!$B$27)*Model!$B$37-Model!$B$38)-(Model!$D$29-Model!$D$21)</f>
        <v>1691.44977020708</v>
      </c>
    </row>
    <row r="10" customFormat="false" ht="15" hidden="false" customHeight="false" outlineLevel="0" collapsed="false">
      <c r="A10" s="17" t="n">
        <v>6.99</v>
      </c>
      <c r="B10" s="31" t="n">
        <f aca="false">A10*Inputs!$B$21/Inputs!$B$20</f>
        <v>70.0260721442886</v>
      </c>
      <c r="C10" s="41" t="n">
        <f aca="false">Model!$B$6*($A10*Model!$B$37/(1+Inputs!$B$23)-$A10*(Inputs!$B$26+Inputs!$B$27)*Model!$B$37-Model!$B$38)-(Model!$B$13+Model!$B$23+Model!$B$24)</f>
        <v>347.086820708083</v>
      </c>
      <c r="D10" s="41" t="n">
        <f aca="false">Model!$C$6*($A10*Model!$B$37/(1+Inputs!$B$23)-$A10*(Inputs!$B$26+Inputs!$B$27)*Model!$B$37-Model!$B$38)-(Model!$C$13+Model!$C$23+Model!$C$24)</f>
        <v>2385.43410354041</v>
      </c>
      <c r="E10" s="41" t="n">
        <f aca="false">Model!$D$6*($A10*Model!$B$37/(1+Inputs!$B$23)-$A10*(Inputs!$B$26+Inputs!$B$27)*Model!$B$37-Model!$B$38)-(Model!$D$13+Model!$D$23+Model!$D$24)</f>
        <v>4880.86820708083</v>
      </c>
      <c r="F10" s="41" t="n">
        <f aca="false">Model!$B$6*($A10*Model!$B$37/(1+Inputs!$B$23)-$A10*(Inputs!$B$26+Inputs!$B$27)*Model!$B$37-Model!$B$38)-(Model!$B$29-Model!$B$21)</f>
        <v>-236.246512625251</v>
      </c>
      <c r="G10" s="41" t="n">
        <f aca="false">Model!$C$6*($A10*Model!$B$37/(1+Inputs!$B$23)-$A10*(Inputs!$B$26+Inputs!$B$27)*Model!$B$37-Model!$B$38)-(Model!$C$29-Model!$C$21)</f>
        <v>968.767436873748</v>
      </c>
      <c r="H10" s="41" t="n">
        <f aca="false">Model!$D$6*($A10*Model!$B$37/(1+Inputs!$B$23)-$A10*(Inputs!$B$26+Inputs!$B$27)*Model!$B$37-Model!$B$38)-(Model!$D$29-Model!$D$21)</f>
        <v>2547.5348737475</v>
      </c>
    </row>
    <row r="11" customFormat="false" ht="15" hidden="false" customHeight="false" outlineLevel="0" collapsed="false">
      <c r="A11" s="17" t="n">
        <v>7.99</v>
      </c>
      <c r="B11" s="31" t="n">
        <f aca="false">A11*Inputs!$B$21/Inputs!$B$20</f>
        <v>80.0441082164329</v>
      </c>
      <c r="C11" s="41" t="n">
        <f aca="false">Model!$B$6*($A11*Model!$B$37/(1+Inputs!$B$23)-$A11*(Inputs!$B$26+Inputs!$B$27)*Model!$B$37-Model!$B$38)-(Model!$B$13+Model!$B$23+Model!$B$24)</f>
        <v>432.695331062124</v>
      </c>
      <c r="D11" s="41" t="n">
        <f aca="false">Model!$C$6*($A11*Model!$B$37/(1+Inputs!$B$23)-$A11*(Inputs!$B$26+Inputs!$B$27)*Model!$B$37-Model!$B$38)-(Model!$C$13+Model!$C$23+Model!$C$24)</f>
        <v>2813.47665531062</v>
      </c>
      <c r="E11" s="41" t="n">
        <f aca="false">Model!$D$6*($A11*Model!$B$37/(1+Inputs!$B$23)-$A11*(Inputs!$B$26+Inputs!$B$27)*Model!$B$37-Model!$B$38)-(Model!$D$13+Model!$D$23+Model!$D$24)</f>
        <v>5736.95331062124</v>
      </c>
      <c r="F11" s="41" t="n">
        <f aca="false">Model!$B$6*($A11*Model!$B$37/(1+Inputs!$B$23)-$A11*(Inputs!$B$26+Inputs!$B$27)*Model!$B$37-Model!$B$38)-(Model!$B$29-Model!$B$21)</f>
        <v>-150.638002271209</v>
      </c>
      <c r="G11" s="41" t="n">
        <f aca="false">Model!$C$6*($A11*Model!$B$37/(1+Inputs!$B$23)-$A11*(Inputs!$B$26+Inputs!$B$27)*Model!$B$37-Model!$B$38)-(Model!$C$29-Model!$C$21)</f>
        <v>1396.80998864395</v>
      </c>
      <c r="H11" s="41" t="n">
        <f aca="false">Model!$D$6*($A11*Model!$B$37/(1+Inputs!$B$23)-$A11*(Inputs!$B$26+Inputs!$B$27)*Model!$B$37-Model!$B$38)-(Model!$D$29-Model!$D$21)</f>
        <v>3403.61997728791</v>
      </c>
    </row>
    <row r="12" customFormat="false" ht="15" hidden="false" customHeight="false" outlineLevel="0" collapsed="false">
      <c r="A12" s="17" t="n">
        <v>9.99</v>
      </c>
      <c r="B12" s="31" t="n">
        <f aca="false">A12*Inputs!$B$21/Inputs!$B$20</f>
        <v>100.080180360721</v>
      </c>
      <c r="C12" s="41" t="n">
        <f aca="false">Model!$B$6*($A12*Model!$B$37/(1+Inputs!$B$23)-$A12*(Inputs!$B$26+Inputs!$B$27)*Model!$B$37-Model!$B$38)-(Model!$B$13+Model!$B$23+Model!$B$24)</f>
        <v>603.912351770207</v>
      </c>
      <c r="D12" s="41" t="n">
        <f aca="false">Model!$C$6*($A12*Model!$B$37/(1+Inputs!$B$23)-$A12*(Inputs!$B$26+Inputs!$B$27)*Model!$B$37-Model!$B$38)-(Model!$C$13+Model!$C$23+Model!$C$24)</f>
        <v>3669.56175885104</v>
      </c>
      <c r="E12" s="41" t="n">
        <f aca="false">Model!$D$6*($A12*Model!$B$37/(1+Inputs!$B$23)-$A12*(Inputs!$B$26+Inputs!$B$27)*Model!$B$37-Model!$B$38)-(Model!$D$13+Model!$D$23+Model!$D$24)</f>
        <v>7449.12351770207</v>
      </c>
      <c r="F12" s="41" t="n">
        <f aca="false">Model!$B$6*($A12*Model!$B$37/(1+Inputs!$B$23)-$A12*(Inputs!$B$26+Inputs!$B$27)*Model!$B$37-Model!$B$38)-(Model!$B$29-Model!$B$21)</f>
        <v>20.5790184368738</v>
      </c>
      <c r="G12" s="41" t="n">
        <f aca="false">Model!$C$6*($A12*Model!$B$37/(1+Inputs!$B$23)-$A12*(Inputs!$B$26+Inputs!$B$27)*Model!$B$37-Model!$B$38)-(Model!$C$29-Model!$C$21)</f>
        <v>2252.89509218437</v>
      </c>
      <c r="H12" s="41" t="n">
        <f aca="false">Model!$D$6*($A12*Model!$B$37/(1+Inputs!$B$23)-$A12*(Inputs!$B$26+Inputs!$B$27)*Model!$B$37-Model!$B$38)-(Model!$D$29-Model!$D$21)</f>
        <v>5115.79018436874</v>
      </c>
    </row>
    <row r="14" customFormat="false" ht="15" hidden="false" customHeight="false" outlineLevel="0" collapsed="false">
      <c r="A14" s="6" t="s">
        <v>156</v>
      </c>
    </row>
  </sheetData>
  <mergeCells count="2">
    <mergeCell ref="C4:E4"/>
    <mergeCell ref="F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2026-10-10T21:28:01Z</dcterms:created>
  <dc:creator>openpyxl</dc:creator>
  <dc:description/>
  <dc:language>en-US</dc:language>
  <cp:lastModifiedBy/>
  <dcterms:modified xsi:type="dcterms:W3CDTF">2026-10-10T21:28:01Z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